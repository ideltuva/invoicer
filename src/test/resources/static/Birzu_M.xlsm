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05" windowWidth="27795" windowHeight="12600"/>
  </bookViews>
  <sheets>
    <sheet name="Birzu_M" sheetId="1" r:id="rId1"/>
  </sheets>
  <externalReferences>
    <externalReference r:id="rId2"/>
    <externalReference r:id="rId3"/>
  </externalReferences>
  <definedNames>
    <definedName name="_xlnm.Print_Area" localSheetId="0">Birzu_M!$A$1:$W$48</definedName>
  </definedNames>
  <calcPr calcId="145621" calcMode="manual"/>
</workbook>
</file>

<file path=xl/calcChain.xml><?xml version="1.0" encoding="utf-8"?>
<calcChain xmlns="http://schemas.openxmlformats.org/spreadsheetml/2006/main">
  <c r="G44" i="1" l="1"/>
  <c r="G43" i="1"/>
  <c r="Q18" i="1"/>
  <c r="U18" i="1" s="1"/>
  <c r="U39" i="1" s="1"/>
  <c r="C18" i="1"/>
  <c r="E17" i="1"/>
  <c r="B5" i="1"/>
  <c r="Y1" i="1"/>
  <c r="L4" i="1" s="1"/>
  <c r="U41" i="1" l="1"/>
  <c r="U43" i="1" s="1"/>
  <c r="B45" i="1"/>
</calcChain>
</file>

<file path=xl/comments1.xml><?xml version="1.0" encoding="utf-8"?>
<comments xmlns="http://schemas.openxmlformats.org/spreadsheetml/2006/main">
  <authors>
    <author>Sonata Patkauskaite</author>
  </authors>
  <commentList>
    <comment ref="B1" authorId="0">
      <text>
        <r>
          <rPr>
            <sz val="8"/>
            <color indexed="81"/>
            <rFont val="Tahoma"/>
            <family val="2"/>
          </rPr>
          <t xml:space="preserve">Pildomas tik pirmas egzempliorius
</t>
        </r>
      </text>
    </comment>
  </commentList>
</comments>
</file>

<file path=xl/sharedStrings.xml><?xml version="1.0" encoding="utf-8"?>
<sst xmlns="http://schemas.openxmlformats.org/spreadsheetml/2006/main" count="33" uniqueCount="33">
  <si>
    <t>PVM SĄSKAITA FAKTŪRA</t>
  </si>
  <si>
    <t>Nr.</t>
  </si>
  <si>
    <t>Pardavėjo rekvizitai</t>
  </si>
  <si>
    <t>Pirkėjo rekvizitai</t>
  </si>
  <si>
    <t>Lietuvos nepriklausomų medienos matuotojų asociacija</t>
  </si>
  <si>
    <t xml:space="preserve">VĮ Valstybinių miškų urėdija  </t>
  </si>
  <si>
    <t xml:space="preserve">Įmonės kodas: </t>
  </si>
  <si>
    <t>Savanorių pr. 176, Vilnius</t>
  </si>
  <si>
    <t xml:space="preserve">PVM mokėtojo kodas: </t>
  </si>
  <si>
    <t>LT100002062617</t>
  </si>
  <si>
    <t xml:space="preserve">PVM mokėtojo kodas : </t>
  </si>
  <si>
    <t>LT323408811</t>
  </si>
  <si>
    <t xml:space="preserve">Adresas: </t>
  </si>
  <si>
    <t>Studentų g. 11, LT-53356 Akademija, Kauno r.</t>
  </si>
  <si>
    <t xml:space="preserve">Imonės kodas: </t>
  </si>
  <si>
    <t>Eil. Nr.</t>
  </si>
  <si>
    <t>Prekės, turto ar paslaugos pavadinimas</t>
  </si>
  <si>
    <t>Mato vnt.</t>
  </si>
  <si>
    <t>Kiekis</t>
  </si>
  <si>
    <t>Kaina Eur</t>
  </si>
  <si>
    <t>Suma Eur</t>
  </si>
  <si>
    <t xml:space="preserve">Sutarties Nr.: </t>
  </si>
  <si>
    <t>kub. m</t>
  </si>
  <si>
    <t>Iš viso</t>
  </si>
  <si>
    <t>Papildoma informacija</t>
  </si>
  <si>
    <t>PVM ( 21 %)</t>
  </si>
  <si>
    <t xml:space="preserve">AB Swedbank, a.s. – </t>
  </si>
  <si>
    <t>LT887300010086661473</t>
  </si>
  <si>
    <t>Pastabos:</t>
  </si>
  <si>
    <t>Bendra suma</t>
  </si>
  <si>
    <t>Apmokėti iki</t>
  </si>
  <si>
    <t>Vyr. Buhalteris TadasTamošauskas (Tel. 861439008)</t>
  </si>
  <si>
    <t>sąskaitą išrašė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</si>
</sst>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27]yyyy\ &quot;m.&quot;\ mmmm\ d\ &quot;d.&quot;;@"/>
    <numFmt numFmtId="165" formatCode="0.000"/>
    <numFmt numFmtId="166" formatCode="[$-F800]dddd\,\ mmmm\ dd\,\ yyyy"/>
  </numFmts>
  <fonts count="13" x14ac:knownFonts="1">
    <font>
      <sz val="10"/>
      <name val="Arial"/>
      <charset val="186"/>
    </font>
    <font>
      <sz val="11"/>
      <color theme="1"/>
      <name val="Calibri"/>
      <family val="2"/>
      <charset val="186"/>
      <scheme val="minor"/>
    </font>
    <font>
      <b/>
      <sz val="18"/>
      <name val="Arial"/>
      <family val="2"/>
      <charset val="186"/>
    </font>
    <font>
      <b/>
      <sz val="12"/>
      <name val="Arial"/>
      <family val="2"/>
      <charset val="186"/>
    </font>
    <font>
      <sz val="10"/>
      <name val="Arial"/>
      <family val="2"/>
      <charset val="186"/>
    </font>
    <font>
      <sz val="8"/>
      <name val="Arial"/>
      <family val="2"/>
      <charset val="186"/>
    </font>
    <font>
      <b/>
      <sz val="8"/>
      <name val="Arial"/>
      <family val="2"/>
      <charset val="186"/>
    </font>
    <font>
      <sz val="9"/>
      <name val="Arial"/>
      <family val="2"/>
      <charset val="186"/>
    </font>
    <font>
      <b/>
      <sz val="10"/>
      <name val="Arial"/>
      <family val="2"/>
      <charset val="186"/>
    </font>
    <font>
      <b/>
      <sz val="10"/>
      <name val="Arial"/>
      <family val="2"/>
      <charset val="204"/>
    </font>
    <font>
      <i/>
      <sz val="8"/>
      <name val="Arial"/>
      <family val="2"/>
      <charset val="186"/>
    </font>
    <font>
      <b/>
      <sz val="10"/>
      <name val="Arial Baltic"/>
      <charset val="186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</cellStyleXfs>
  <cellXfs count="163">
    <xf numFmtId="0" fontId="0" fillId="0" borderId="0" xfId="0"/>
    <xf numFmtId="0" fontId="2" fillId="0" borderId="0" xfId="0" applyFont="1" applyFill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Alignment="1"/>
    <xf numFmtId="0" fontId="3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164" fontId="3" fillId="0" borderId="0" xfId="0" applyNumberFormat="1" applyFont="1" applyFill="1" applyAlignment="1">
      <alignment horizontal="center" vertical="center"/>
    </xf>
    <xf numFmtId="0" fontId="4" fillId="0" borderId="0" xfId="0" applyFont="1" applyFill="1"/>
    <xf numFmtId="164" fontId="4" fillId="0" borderId="2" xfId="0" applyNumberFormat="1" applyFont="1" applyFill="1" applyBorder="1" applyAlignment="1">
      <alignment horizontal="center"/>
    </xf>
    <xf numFmtId="164" fontId="4" fillId="0" borderId="3" xfId="0" applyNumberFormat="1" applyFont="1" applyFill="1" applyBorder="1" applyAlignment="1">
      <alignment horizontal="center"/>
    </xf>
    <xf numFmtId="164" fontId="4" fillId="0" borderId="4" xfId="0" applyNumberFormat="1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4" fillId="0" borderId="5" xfId="0" applyFont="1" applyFill="1" applyBorder="1"/>
    <xf numFmtId="0" fontId="3" fillId="0" borderId="6" xfId="0" applyFont="1" applyFill="1" applyBorder="1" applyAlignment="1">
      <alignment horizontal="center" vertical="justify" wrapText="1"/>
    </xf>
    <xf numFmtId="0" fontId="3" fillId="0" borderId="0" xfId="0" applyFont="1" applyFill="1" applyBorder="1" applyAlignment="1">
      <alignment horizontal="center" vertical="justify" wrapText="1"/>
    </xf>
    <xf numFmtId="0" fontId="3" fillId="0" borderId="7" xfId="0" applyFont="1" applyFill="1" applyBorder="1" applyAlignment="1">
      <alignment horizontal="center" vertical="justify" wrapText="1"/>
    </xf>
    <xf numFmtId="0" fontId="3" fillId="0" borderId="6" xfId="0" applyFont="1" applyFill="1" applyBorder="1" applyAlignment="1">
      <alignment horizontal="center" wrapText="1"/>
    </xf>
    <xf numFmtId="0" fontId="3" fillId="0" borderId="0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horizontal="center" wrapText="1"/>
    </xf>
    <xf numFmtId="0" fontId="0" fillId="0" borderId="8" xfId="0" applyFill="1" applyBorder="1" applyAlignment="1">
      <alignment horizontal="center" wrapText="1"/>
    </xf>
    <xf numFmtId="0" fontId="0" fillId="0" borderId="9" xfId="0" applyFill="1" applyBorder="1" applyAlignment="1">
      <alignment horizontal="center" wrapText="1"/>
    </xf>
    <xf numFmtId="0" fontId="0" fillId="0" borderId="10" xfId="0" applyFill="1" applyBorder="1" applyAlignment="1">
      <alignment horizontal="center" wrapText="1"/>
    </xf>
    <xf numFmtId="0" fontId="5" fillId="0" borderId="6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7" xfId="0" applyFont="1" applyFill="1" applyBorder="1" applyAlignment="1">
      <alignment horizontal="left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left"/>
    </xf>
    <xf numFmtId="0" fontId="5" fillId="0" borderId="7" xfId="0" applyFont="1" applyFill="1" applyBorder="1" applyAlignment="1">
      <alignment horizontal="left"/>
    </xf>
    <xf numFmtId="0" fontId="0" fillId="0" borderId="14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16" xfId="0" applyFont="1" applyFill="1" applyBorder="1" applyAlignment="1">
      <alignment horizontal="left"/>
    </xf>
    <xf numFmtId="0" fontId="0" fillId="0" borderId="17" xfId="0" applyFont="1" applyFill="1" applyBorder="1" applyAlignment="1">
      <alignment horizontal="left"/>
    </xf>
    <xf numFmtId="0" fontId="4" fillId="0" borderId="18" xfId="0" applyFont="1" applyFill="1" applyBorder="1" applyAlignment="1">
      <alignment horizontal="left"/>
    </xf>
    <xf numFmtId="0" fontId="4" fillId="0" borderId="18" xfId="0" applyFont="1" applyFill="1" applyBorder="1" applyAlignment="1">
      <alignment horizontal="left"/>
    </xf>
    <xf numFmtId="0" fontId="0" fillId="0" borderId="18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5" fillId="0" borderId="20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/>
    </xf>
    <xf numFmtId="0" fontId="5" fillId="0" borderId="22" xfId="0" applyFont="1" applyFill="1" applyBorder="1" applyAlignment="1">
      <alignment horizontal="center"/>
    </xf>
    <xf numFmtId="0" fontId="5" fillId="0" borderId="17" xfId="0" applyFont="1" applyFill="1" applyBorder="1" applyAlignment="1"/>
    <xf numFmtId="0" fontId="5" fillId="0" borderId="18" xfId="0" applyFont="1" applyFill="1" applyBorder="1" applyAlignment="1"/>
    <xf numFmtId="0" fontId="5" fillId="0" borderId="19" xfId="0" applyFont="1" applyFill="1" applyBorder="1" applyAlignment="1"/>
    <xf numFmtId="0" fontId="4" fillId="0" borderId="18" xfId="0" applyFont="1" applyFill="1" applyBorder="1"/>
    <xf numFmtId="0" fontId="4" fillId="0" borderId="21" xfId="0" applyFont="1" applyFill="1" applyBorder="1"/>
    <xf numFmtId="0" fontId="0" fillId="0" borderId="0" xfId="0" applyBorder="1"/>
    <xf numFmtId="0" fontId="6" fillId="0" borderId="17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left"/>
    </xf>
    <xf numFmtId="0" fontId="6" fillId="0" borderId="18" xfId="0" applyFont="1" applyFill="1" applyBorder="1" applyAlignment="1">
      <alignment horizontal="left"/>
    </xf>
    <xf numFmtId="0" fontId="6" fillId="0" borderId="24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5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17" xfId="0" applyFont="1" applyFill="1" applyBorder="1" applyAlignment="1">
      <alignment horizontal="center"/>
    </xf>
    <xf numFmtId="0" fontId="5" fillId="0" borderId="18" xfId="0" applyFont="1" applyFill="1" applyBorder="1" applyAlignment="1">
      <alignment horizontal="left"/>
    </xf>
    <xf numFmtId="0" fontId="4" fillId="0" borderId="18" xfId="0" applyFont="1" applyFill="1" applyBorder="1" applyAlignment="1">
      <alignment horizontal="center"/>
    </xf>
    <xf numFmtId="165" fontId="0" fillId="0" borderId="26" xfId="0" applyNumberFormat="1" applyFill="1" applyBorder="1" applyAlignment="1">
      <alignment horizontal="center"/>
    </xf>
    <xf numFmtId="2" fontId="4" fillId="0" borderId="18" xfId="0" applyNumberFormat="1" applyFont="1" applyFill="1" applyBorder="1" applyAlignment="1">
      <alignment horizontal="center"/>
    </xf>
    <xf numFmtId="2" fontId="4" fillId="0" borderId="19" xfId="0" applyNumberFormat="1" applyFont="1" applyFill="1" applyBorder="1" applyAlignment="1">
      <alignment horizontal="center"/>
    </xf>
    <xf numFmtId="0" fontId="4" fillId="0" borderId="27" xfId="0" applyFont="1" applyFill="1" applyBorder="1" applyAlignment="1">
      <alignment horizontal="center" vertical="center"/>
    </xf>
    <xf numFmtId="0" fontId="7" fillId="0" borderId="28" xfId="0" applyFont="1" applyFill="1" applyBorder="1" applyAlignment="1">
      <alignment horizontal="center" vertical="center" wrapText="1" shrinkToFit="1"/>
    </xf>
    <xf numFmtId="0" fontId="7" fillId="0" borderId="26" xfId="0" applyFont="1" applyFill="1" applyBorder="1" applyAlignment="1">
      <alignment horizontal="center" vertical="center" wrapText="1" shrinkToFit="1"/>
    </xf>
    <xf numFmtId="0" fontId="7" fillId="0" borderId="29" xfId="0" applyFont="1" applyFill="1" applyBorder="1" applyAlignment="1">
      <alignment horizontal="center" vertical="center" wrapText="1" shrinkToFit="1"/>
    </xf>
    <xf numFmtId="0" fontId="4" fillId="0" borderId="28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165" fontId="0" fillId="0" borderId="30" xfId="0" applyNumberFormat="1" applyFill="1" applyBorder="1" applyAlignment="1">
      <alignment horizontal="center" vertical="center"/>
    </xf>
    <xf numFmtId="2" fontId="4" fillId="0" borderId="28" xfId="0" applyNumberFormat="1" applyFont="1" applyFill="1" applyBorder="1" applyAlignment="1">
      <alignment horizontal="center" vertical="center"/>
    </xf>
    <xf numFmtId="2" fontId="4" fillId="0" borderId="26" xfId="0" applyNumberFormat="1" applyFont="1" applyFill="1" applyBorder="1" applyAlignment="1">
      <alignment horizontal="center" vertical="center"/>
    </xf>
    <xf numFmtId="2" fontId="4" fillId="0" borderId="29" xfId="0" applyNumberFormat="1" applyFont="1" applyFill="1" applyBorder="1" applyAlignment="1">
      <alignment horizontal="center" vertical="center"/>
    </xf>
    <xf numFmtId="2" fontId="4" fillId="0" borderId="31" xfId="0" applyNumberFormat="1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/>
    </xf>
    <xf numFmtId="0" fontId="7" fillId="0" borderId="33" xfId="0" applyFont="1" applyFill="1" applyBorder="1" applyAlignment="1">
      <alignment horizontal="center" wrapText="1" shrinkToFit="1"/>
    </xf>
    <xf numFmtId="0" fontId="7" fillId="0" borderId="9" xfId="0" applyFont="1" applyFill="1" applyBorder="1" applyAlignment="1">
      <alignment horizontal="center" wrapText="1" shrinkToFit="1"/>
    </xf>
    <xf numFmtId="0" fontId="7" fillId="0" borderId="34" xfId="0" applyFont="1" applyFill="1" applyBorder="1" applyAlignment="1">
      <alignment horizontal="center" wrapText="1" shrinkToFit="1"/>
    </xf>
    <xf numFmtId="0" fontId="4" fillId="0" borderId="33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34" xfId="0" applyFont="1" applyFill="1" applyBorder="1" applyAlignment="1">
      <alignment horizontal="center"/>
    </xf>
    <xf numFmtId="165" fontId="0" fillId="0" borderId="35" xfId="0" applyNumberFormat="1" applyFill="1" applyBorder="1" applyAlignment="1">
      <alignment horizontal="center"/>
    </xf>
    <xf numFmtId="2" fontId="4" fillId="0" borderId="33" xfId="0" applyNumberFormat="1" applyFont="1" applyFill="1" applyBorder="1" applyAlignment="1">
      <alignment horizontal="center"/>
    </xf>
    <xf numFmtId="2" fontId="4" fillId="0" borderId="9" xfId="0" applyNumberFormat="1" applyFont="1" applyFill="1" applyBorder="1" applyAlignment="1">
      <alignment horizontal="center"/>
    </xf>
    <xf numFmtId="2" fontId="4" fillId="0" borderId="34" xfId="0" applyNumberFormat="1" applyFont="1" applyFill="1" applyBorder="1" applyAlignment="1">
      <alignment horizontal="center"/>
    </xf>
    <xf numFmtId="2" fontId="4" fillId="0" borderId="10" xfId="0" applyNumberFormat="1" applyFont="1" applyFill="1" applyBorder="1" applyAlignment="1">
      <alignment horizontal="center"/>
    </xf>
    <xf numFmtId="0" fontId="4" fillId="0" borderId="36" xfId="0" applyFont="1" applyFill="1" applyBorder="1" applyAlignment="1">
      <alignment horizontal="center"/>
    </xf>
    <xf numFmtId="0" fontId="4" fillId="0" borderId="37" xfId="0" applyFont="1" applyFill="1" applyBorder="1" applyAlignment="1">
      <alignment horizontal="center"/>
    </xf>
    <xf numFmtId="2" fontId="4" fillId="0" borderId="36" xfId="0" applyNumberFormat="1" applyFont="1" applyFill="1" applyBorder="1" applyAlignment="1">
      <alignment horizontal="center"/>
    </xf>
    <xf numFmtId="2" fontId="4" fillId="0" borderId="12" xfId="0" applyNumberFormat="1" applyFont="1" applyFill="1" applyBorder="1" applyAlignment="1">
      <alignment horizontal="center"/>
    </xf>
    <xf numFmtId="2" fontId="4" fillId="0" borderId="37" xfId="0" applyNumberFormat="1" applyFont="1" applyFill="1" applyBorder="1" applyAlignment="1">
      <alignment horizontal="center"/>
    </xf>
    <xf numFmtId="0" fontId="5" fillId="0" borderId="36" xfId="0" applyFont="1" applyFill="1" applyBorder="1" applyAlignment="1">
      <alignment horizontal="center" wrapText="1" shrinkToFit="1"/>
    </xf>
    <xf numFmtId="0" fontId="5" fillId="0" borderId="12" xfId="0" applyFont="1" applyFill="1" applyBorder="1" applyAlignment="1">
      <alignment horizontal="center" wrapText="1" shrinkToFit="1"/>
    </xf>
    <xf numFmtId="0" fontId="5" fillId="0" borderId="37" xfId="0" applyFont="1" applyFill="1" applyBorder="1" applyAlignment="1">
      <alignment horizontal="center" wrapText="1" shrinkToFit="1"/>
    </xf>
    <xf numFmtId="2" fontId="4" fillId="0" borderId="13" xfId="0" applyNumberFormat="1" applyFont="1" applyFill="1" applyBorder="1" applyAlignment="1">
      <alignment horizontal="center"/>
    </xf>
    <xf numFmtId="165" fontId="0" fillId="0" borderId="38" xfId="0" applyNumberFormat="1" applyFill="1" applyBorder="1" applyAlignment="1">
      <alignment horizontal="center"/>
    </xf>
    <xf numFmtId="49" fontId="4" fillId="0" borderId="0" xfId="0" applyNumberFormat="1" applyFont="1"/>
    <xf numFmtId="165" fontId="4" fillId="0" borderId="36" xfId="0" applyNumberFormat="1" applyFont="1" applyFill="1" applyBorder="1" applyAlignment="1">
      <alignment horizontal="center"/>
    </xf>
    <xf numFmtId="0" fontId="4" fillId="0" borderId="39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0" xfId="0" applyFont="1" applyFill="1" applyBorder="1" applyAlignment="1">
      <alignment horizontal="center"/>
    </xf>
    <xf numFmtId="165" fontId="4" fillId="0" borderId="39" xfId="0" applyNumberFormat="1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0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2" fontId="4" fillId="0" borderId="41" xfId="0" applyNumberFormat="1" applyFont="1" applyFill="1" applyBorder="1" applyAlignment="1">
      <alignment horizontal="center"/>
    </xf>
    <xf numFmtId="2" fontId="4" fillId="0" borderId="42" xfId="0" applyNumberFormat="1" applyFont="1" applyFill="1" applyBorder="1" applyAlignment="1">
      <alignment horizontal="center"/>
    </xf>
    <xf numFmtId="2" fontId="4" fillId="0" borderId="44" xfId="0" applyNumberFormat="1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justify"/>
    </xf>
    <xf numFmtId="0" fontId="5" fillId="0" borderId="3" xfId="0" applyFont="1" applyFill="1" applyBorder="1" applyAlignment="1">
      <alignment horizontal="center" vertical="justify"/>
    </xf>
    <xf numFmtId="0" fontId="5" fillId="0" borderId="45" xfId="0" applyFont="1" applyFill="1" applyBorder="1" applyAlignment="1">
      <alignment horizontal="center" vertical="justify"/>
    </xf>
    <xf numFmtId="0" fontId="4" fillId="0" borderId="4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4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justify"/>
    </xf>
    <xf numFmtId="0" fontId="5" fillId="0" borderId="9" xfId="0" applyFont="1" applyFill="1" applyBorder="1" applyAlignment="1">
      <alignment horizontal="center" vertical="justify"/>
    </xf>
    <xf numFmtId="0" fontId="5" fillId="0" borderId="34" xfId="0" applyFont="1" applyFill="1" applyBorder="1" applyAlignment="1">
      <alignment horizontal="center" vertical="justify"/>
    </xf>
    <xf numFmtId="0" fontId="5" fillId="0" borderId="46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47" xfId="0" applyFont="1" applyFill="1" applyBorder="1" applyAlignment="1">
      <alignment horizontal="center"/>
    </xf>
    <xf numFmtId="0" fontId="8" fillId="0" borderId="11" xfId="0" applyFont="1" applyFill="1" applyBorder="1" applyAlignment="1">
      <alignment vertical="justify"/>
    </xf>
    <xf numFmtId="0" fontId="8" fillId="0" borderId="12" xfId="0" applyFont="1" applyFill="1" applyBorder="1" applyAlignment="1">
      <alignment vertical="justify"/>
    </xf>
    <xf numFmtId="0" fontId="8" fillId="0" borderId="12" xfId="0" applyFont="1" applyFill="1" applyBorder="1" applyAlignment="1">
      <alignment horizontal="left" vertical="justify"/>
    </xf>
    <xf numFmtId="0" fontId="8" fillId="0" borderId="37" xfId="0" applyFont="1" applyFill="1" applyBorder="1" applyAlignment="1">
      <alignment horizontal="left" vertical="justify"/>
    </xf>
    <xf numFmtId="0" fontId="4" fillId="0" borderId="16" xfId="0" applyFont="1" applyFill="1" applyBorder="1" applyAlignment="1">
      <alignment horizontal="center"/>
    </xf>
    <xf numFmtId="0" fontId="0" fillId="0" borderId="11" xfId="0" applyFont="1" applyFill="1" applyBorder="1" applyAlignment="1">
      <alignment vertical="justify"/>
    </xf>
    <xf numFmtId="0" fontId="0" fillId="0" borderId="12" xfId="0" applyFont="1" applyFill="1" applyBorder="1" applyAlignment="1">
      <alignment vertical="justify"/>
    </xf>
    <xf numFmtId="14" fontId="0" fillId="0" borderId="12" xfId="0" applyNumberFormat="1" applyFill="1" applyBorder="1" applyAlignment="1">
      <alignment horizontal="left" vertical="justify"/>
    </xf>
    <xf numFmtId="14" fontId="0" fillId="0" borderId="37" xfId="0" applyNumberFormat="1" applyFill="1" applyBorder="1" applyAlignment="1">
      <alignment horizontal="left" vertical="justify"/>
    </xf>
    <xf numFmtId="0" fontId="5" fillId="0" borderId="33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5" fillId="0" borderId="10" xfId="0" applyFont="1" applyFill="1" applyBorder="1" applyAlignment="1">
      <alignment horizontal="center"/>
    </xf>
    <xf numFmtId="2" fontId="9" fillId="0" borderId="17" xfId="0" applyNumberFormat="1" applyFont="1" applyFill="1" applyBorder="1" applyAlignment="1">
      <alignment horizontal="center"/>
    </xf>
    <xf numFmtId="2" fontId="9" fillId="0" borderId="18" xfId="0" applyNumberFormat="1" applyFont="1" applyFill="1" applyBorder="1" applyAlignment="1">
      <alignment horizontal="center"/>
    </xf>
    <xf numFmtId="2" fontId="9" fillId="0" borderId="19" xfId="0" applyNumberFormat="1" applyFont="1" applyFill="1" applyBorder="1" applyAlignment="1">
      <alignment horizontal="center"/>
    </xf>
    <xf numFmtId="0" fontId="5" fillId="0" borderId="12" xfId="0" applyFont="1" applyFill="1" applyBorder="1" applyAlignment="1">
      <alignment horizontal="center"/>
    </xf>
    <xf numFmtId="2" fontId="10" fillId="0" borderId="26" xfId="0" applyNumberFormat="1" applyFont="1" applyFill="1" applyBorder="1" applyAlignment="1">
      <alignment horizontal="center"/>
    </xf>
    <xf numFmtId="2" fontId="10" fillId="0" borderId="31" xfId="0" applyNumberFormat="1" applyFont="1" applyFill="1" applyBorder="1" applyAlignment="1">
      <alignment horizontal="center"/>
    </xf>
    <xf numFmtId="166" fontId="11" fillId="0" borderId="14" xfId="0" applyNumberFormat="1" applyFont="1" applyFill="1" applyBorder="1" applyAlignment="1">
      <alignment horizontal="left"/>
    </xf>
    <xf numFmtId="166" fontId="11" fillId="0" borderId="15" xfId="0" applyNumberFormat="1" applyFont="1" applyFill="1" applyBorder="1" applyAlignment="1">
      <alignment horizontal="left"/>
    </xf>
    <xf numFmtId="166" fontId="11" fillId="0" borderId="16" xfId="0" applyNumberFormat="1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0" borderId="3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5" fillId="0" borderId="7" xfId="0" applyFont="1" applyFill="1" applyBorder="1" applyAlignment="1">
      <alignment horizontal="left" vertical="center"/>
    </xf>
    <xf numFmtId="0" fontId="4" fillId="0" borderId="20" xfId="0" applyFont="1" applyFill="1" applyBorder="1" applyAlignment="1">
      <alignment horizontal="center"/>
    </xf>
    <xf numFmtId="0" fontId="4" fillId="0" borderId="21" xfId="0" applyFont="1" applyFill="1" applyBorder="1" applyAlignment="1">
      <alignment horizontal="center"/>
    </xf>
    <xf numFmtId="0" fontId="4" fillId="0" borderId="22" xfId="0" applyFont="1" applyFill="1" applyBorder="1" applyAlignment="1">
      <alignment horizontal="center"/>
    </xf>
    <xf numFmtId="1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6">
    <cellStyle name="Įprastas" xfId="0" builtinId="0"/>
    <cellStyle name="Įprastas 2" xfId="1"/>
    <cellStyle name="Įprastas 2 2" xfId="2"/>
    <cellStyle name="Įprastas 2 3" xfId="3"/>
    <cellStyle name="Įprastas 2 4" xfId="4"/>
    <cellStyle name="Įprastas 3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28575</xdr:rowOff>
    </xdr:from>
    <xdr:to>
      <xdr:col>4</xdr:col>
      <xdr:colOff>342900</xdr:colOff>
      <xdr:row>4</xdr:row>
      <xdr:rowOff>142875</xdr:rowOff>
    </xdr:to>
    <xdr:pic>
      <xdr:nvPicPr>
        <xdr:cNvPr id="2" name="Picture 51" descr="logo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" y="190500"/>
          <a:ext cx="99060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1</xdr:row>
      <xdr:rowOff>28575</xdr:rowOff>
    </xdr:from>
    <xdr:to>
      <xdr:col>4</xdr:col>
      <xdr:colOff>342900</xdr:colOff>
      <xdr:row>4</xdr:row>
      <xdr:rowOff>142875</xdr:rowOff>
    </xdr:to>
    <xdr:pic>
      <xdr:nvPicPr>
        <xdr:cNvPr id="3" name="Picture 51" descr="logo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" y="190500"/>
          <a:ext cx="99060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1</xdr:row>
      <xdr:rowOff>28575</xdr:rowOff>
    </xdr:from>
    <xdr:to>
      <xdr:col>4</xdr:col>
      <xdr:colOff>342900</xdr:colOff>
      <xdr:row>4</xdr:row>
      <xdr:rowOff>142875</xdr:rowOff>
    </xdr:to>
    <xdr:pic>
      <xdr:nvPicPr>
        <xdr:cNvPr id="4" name="Picture 51" descr="logo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" y="190500"/>
          <a:ext cx="99060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1</xdr:row>
      <xdr:rowOff>28575</xdr:rowOff>
    </xdr:from>
    <xdr:to>
      <xdr:col>4</xdr:col>
      <xdr:colOff>342900</xdr:colOff>
      <xdr:row>4</xdr:row>
      <xdr:rowOff>142875</xdr:rowOff>
    </xdr:to>
    <xdr:pic>
      <xdr:nvPicPr>
        <xdr:cNvPr id="5" name="Picture 51" descr="logo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2975" y="190500"/>
          <a:ext cx="99060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24__NEW/3_SASKAITOS_2024/E_Saskaita_automatine/SABLONAI_2024/Pranskunui/1A_MIT_PVMSF_Sablonas_2024_KOPIJ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adas\AppData\Roaming\Microsoft\AddIns\SumEU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yksciu_M"/>
      <sheetName val="Birzu_M"/>
      <sheetName val="Druskininku_M"/>
      <sheetName val="Dubravos_M"/>
      <sheetName val="Ignalinos_M"/>
      <sheetName val="Jurbarko_M"/>
      <sheetName val="Kazlu_R_M"/>
      <sheetName val="Kretingos_M"/>
      <sheetName val="Kursenu_M"/>
      <sheetName val="Mazeikiu_M"/>
      <sheetName val="Nemencines_M"/>
      <sheetName val="Panevezio_M"/>
      <sheetName val="Prienu_M"/>
      <sheetName val="Radviliskio_M"/>
      <sheetName val="Raseiniu_M"/>
      <sheetName val="Rokiskio_M"/>
      <sheetName val="Sakiu_M"/>
      <sheetName val="Salcininku_M"/>
      <sheetName val="Silutes_M"/>
      <sheetName val="Svencioneliu_M"/>
      <sheetName val="Taurages_M"/>
      <sheetName val="Telsiu_M"/>
      <sheetName val="Traku_M"/>
      <sheetName val="Ukmerges_M"/>
      <sheetName val="Varenos_M"/>
      <sheetName val="BENDR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2">
          <cell r="B2" t="str">
            <v>2024 m. rugsėjo 23 d.</v>
          </cell>
          <cell r="L2" t="str">
            <v xml:space="preserve">Už 2024 m. rugsėjo mėn. apvaliosios medienos matavimą ir tūrio bei kokybės įvertinimą grupiniu metodu (Matavimų vieta  UAB Malkų įlankos terminalas) </v>
          </cell>
        </row>
        <row r="7">
          <cell r="B7" t="str">
            <v>2</v>
          </cell>
          <cell r="M7">
            <v>501</v>
          </cell>
          <cell r="Q7" t="str">
            <v xml:space="preserve">Biržų regioninis padalinys 52 </v>
          </cell>
        </row>
        <row r="34">
          <cell r="B34" t="str">
            <v>VP(E)-21-221</v>
          </cell>
        </row>
        <row r="35">
          <cell r="B35">
            <v>45565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umEU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apas2"/>
  <dimension ref="B1:AF49"/>
  <sheetViews>
    <sheetView tabSelected="1" workbookViewId="0">
      <selection activeCell="R18" sqref="R18:T18"/>
    </sheetView>
  </sheetViews>
  <sheetFormatPr defaultRowHeight="12.75" x14ac:dyDescent="0.2"/>
  <cols>
    <col min="2" max="2" width="5" customWidth="1"/>
    <col min="3" max="3" width="5.140625" bestFit="1" customWidth="1"/>
    <col min="4" max="4" width="4.5703125" customWidth="1"/>
    <col min="5" max="5" width="5.85546875" bestFit="1" customWidth="1"/>
    <col min="6" max="6" width="8.7109375" bestFit="1" customWidth="1"/>
    <col min="7" max="7" width="3.5703125" bestFit="1" customWidth="1"/>
    <col min="8" max="8" width="2.5703125" bestFit="1" customWidth="1"/>
    <col min="9" max="9" width="3.5703125" bestFit="1" customWidth="1"/>
    <col min="10" max="10" width="2" bestFit="1" customWidth="1"/>
    <col min="11" max="11" width="1.5703125" bestFit="1" customWidth="1"/>
    <col min="12" max="12" width="5.42578125" bestFit="1" customWidth="1"/>
    <col min="13" max="13" width="4.7109375" bestFit="1" customWidth="1"/>
    <col min="14" max="14" width="2.5703125" customWidth="1"/>
    <col min="15" max="15" width="3.42578125" bestFit="1" customWidth="1"/>
    <col min="16" max="16" width="2.28515625" bestFit="1" customWidth="1"/>
    <col min="17" max="17" width="9.85546875" bestFit="1" customWidth="1"/>
    <col min="18" max="19" width="3.5703125" bestFit="1" customWidth="1"/>
    <col min="20" max="20" width="4.140625" bestFit="1" customWidth="1"/>
    <col min="21" max="21" width="4.28515625" bestFit="1" customWidth="1"/>
    <col min="22" max="22" width="3.5703125" bestFit="1" customWidth="1"/>
    <col min="23" max="23" width="3" bestFit="1" customWidth="1"/>
  </cols>
  <sheetData>
    <row r="1" spans="2:32" ht="12.75" customHeight="1" thickBot="1" x14ac:dyDescent="0.25">
      <c r="B1" s="1" t="s">
        <v>0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Y1" s="2" t="str">
        <f>[1]BENDRAS!B7</f>
        <v>2</v>
      </c>
    </row>
    <row r="2" spans="2:32" ht="12.75" customHeight="1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Y2" s="3"/>
      <c r="Z2" s="3"/>
      <c r="AA2" s="3"/>
      <c r="AB2" s="3"/>
      <c r="AC2" s="4"/>
    </row>
    <row r="3" spans="2:32" ht="23.25" x14ac:dyDescent="0.3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Y3" s="3"/>
      <c r="Z3" s="3"/>
      <c r="AA3" s="3"/>
      <c r="AB3" s="3"/>
      <c r="AC3" s="4"/>
    </row>
    <row r="4" spans="2:32" ht="14.25" customHeight="1" x14ac:dyDescent="0.25">
      <c r="B4" s="6"/>
      <c r="C4" s="6"/>
      <c r="D4" s="6"/>
      <c r="E4" s="6"/>
      <c r="F4" s="6"/>
      <c r="G4" s="6"/>
      <c r="H4" s="6"/>
      <c r="I4" s="6"/>
      <c r="J4" s="7" t="s">
        <v>1</v>
      </c>
      <c r="K4" s="7"/>
      <c r="L4" s="8" t="str">
        <f>"LNMM2024"&amp;Y1</f>
        <v>LNMM20242</v>
      </c>
      <c r="M4" s="8"/>
      <c r="N4" s="8"/>
      <c r="O4" s="8"/>
      <c r="P4" s="8"/>
      <c r="R4" s="6"/>
      <c r="S4" s="6"/>
      <c r="T4" s="6"/>
      <c r="U4" s="6"/>
      <c r="V4" s="6"/>
      <c r="W4" s="6"/>
      <c r="Y4" s="3"/>
      <c r="Z4" s="9"/>
      <c r="AA4" s="3"/>
      <c r="AB4" s="3"/>
      <c r="AC4" s="4"/>
    </row>
    <row r="5" spans="2:32" ht="15.75" x14ac:dyDescent="0.2">
      <c r="B5" s="10" t="str">
        <f>[1]BENDRAS!B2</f>
        <v>2024 m. rugsėjo 23 d.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Y5" s="3"/>
      <c r="Z5" s="3"/>
      <c r="AA5" s="3"/>
      <c r="AB5" s="3"/>
      <c r="AC5" s="4"/>
    </row>
    <row r="6" spans="2:32" ht="7.5" customHeight="1" thickBot="1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Y6" s="3"/>
      <c r="Z6" s="3"/>
      <c r="AA6" s="3"/>
      <c r="AB6" s="3"/>
      <c r="AC6" s="4"/>
    </row>
    <row r="7" spans="2:32" ht="14.25" thickTop="1" thickBot="1" x14ac:dyDescent="0.25">
      <c r="B7" s="12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4"/>
      <c r="Y7" s="3"/>
      <c r="Z7" s="3"/>
      <c r="AA7" s="3"/>
      <c r="AB7" s="3"/>
      <c r="AC7" s="4"/>
    </row>
    <row r="8" spans="2:32" ht="13.5" thickTop="1" x14ac:dyDescent="0.2">
      <c r="B8" s="15" t="s">
        <v>2</v>
      </c>
      <c r="C8" s="16"/>
      <c r="D8" s="16"/>
      <c r="E8" s="16"/>
      <c r="F8" s="16"/>
      <c r="G8" s="16"/>
      <c r="H8" s="16"/>
      <c r="I8" s="16"/>
      <c r="J8" s="16"/>
      <c r="K8" s="16"/>
      <c r="L8" s="17"/>
      <c r="M8" s="18"/>
      <c r="N8" s="15" t="s">
        <v>3</v>
      </c>
      <c r="O8" s="16"/>
      <c r="P8" s="16"/>
      <c r="Q8" s="16"/>
      <c r="R8" s="16"/>
      <c r="S8" s="16"/>
      <c r="T8" s="16"/>
      <c r="U8" s="16"/>
      <c r="V8" s="16"/>
      <c r="W8" s="17"/>
      <c r="Y8" s="3"/>
      <c r="Z8" s="3"/>
      <c r="AA8" s="3"/>
      <c r="AB8" s="3"/>
      <c r="AC8" s="4"/>
    </row>
    <row r="9" spans="2:32" ht="15.75" customHeight="1" x14ac:dyDescent="0.2">
      <c r="B9" s="19" t="s">
        <v>4</v>
      </c>
      <c r="C9" s="20"/>
      <c r="D9" s="20"/>
      <c r="E9" s="20"/>
      <c r="F9" s="20"/>
      <c r="G9" s="20"/>
      <c r="H9" s="20"/>
      <c r="I9" s="20"/>
      <c r="J9" s="20"/>
      <c r="K9" s="20"/>
      <c r="L9" s="21"/>
      <c r="M9" s="18"/>
      <c r="N9" s="22" t="s">
        <v>5</v>
      </c>
      <c r="O9" s="23"/>
      <c r="P9" s="23"/>
      <c r="Q9" s="23"/>
      <c r="R9" s="23"/>
      <c r="S9" s="23"/>
      <c r="T9" s="23"/>
      <c r="U9" s="23"/>
      <c r="V9" s="23"/>
      <c r="W9" s="24"/>
      <c r="Y9" s="3"/>
      <c r="Z9" s="3"/>
      <c r="AA9" s="3"/>
      <c r="AB9" s="3"/>
      <c r="AC9" s="4"/>
    </row>
    <row r="10" spans="2:32" ht="15" customHeight="1" x14ac:dyDescent="0.2">
      <c r="B10" s="19"/>
      <c r="C10" s="20"/>
      <c r="D10" s="20"/>
      <c r="E10" s="20"/>
      <c r="F10" s="20"/>
      <c r="G10" s="20"/>
      <c r="H10" s="20"/>
      <c r="I10" s="20"/>
      <c r="J10" s="20"/>
      <c r="K10" s="20"/>
      <c r="L10" s="21"/>
      <c r="M10" s="18"/>
      <c r="N10" s="25"/>
      <c r="O10" s="26"/>
      <c r="P10" s="26"/>
      <c r="Q10" s="26"/>
      <c r="R10" s="26"/>
      <c r="S10" s="26"/>
      <c r="T10" s="26"/>
      <c r="U10" s="26"/>
      <c r="V10" s="26"/>
      <c r="W10" s="27"/>
      <c r="Y10" s="3"/>
      <c r="Z10" s="3"/>
      <c r="AA10" s="3"/>
      <c r="AB10" s="3"/>
      <c r="AC10" s="4"/>
    </row>
    <row r="11" spans="2:32" x14ac:dyDescent="0.2">
      <c r="B11" s="28" t="s">
        <v>6</v>
      </c>
      <c r="C11" s="29"/>
      <c r="D11" s="29"/>
      <c r="E11" s="30">
        <v>300052224</v>
      </c>
      <c r="F11" s="30"/>
      <c r="G11" s="30"/>
      <c r="H11" s="30"/>
      <c r="I11" s="30"/>
      <c r="J11" s="30"/>
      <c r="K11" s="30"/>
      <c r="L11" s="31"/>
      <c r="M11" s="18"/>
      <c r="N11" s="32" t="s">
        <v>7</v>
      </c>
      <c r="O11" s="33"/>
      <c r="P11" s="33"/>
      <c r="Q11" s="33"/>
      <c r="R11" s="33"/>
      <c r="S11" s="33"/>
      <c r="T11" s="33"/>
      <c r="U11" s="33"/>
      <c r="V11" s="33"/>
      <c r="W11" s="34"/>
      <c r="Y11" s="3"/>
      <c r="Z11" s="3"/>
      <c r="AA11" s="3"/>
      <c r="AB11" s="3"/>
      <c r="AC11" s="4"/>
    </row>
    <row r="12" spans="2:32" ht="13.5" thickBot="1" x14ac:dyDescent="0.25">
      <c r="B12" s="28" t="s">
        <v>8</v>
      </c>
      <c r="C12" s="35"/>
      <c r="D12" s="35"/>
      <c r="E12" s="35"/>
      <c r="F12" s="35" t="s">
        <v>9</v>
      </c>
      <c r="G12" s="4"/>
      <c r="H12" s="35"/>
      <c r="I12" s="35"/>
      <c r="J12" s="35"/>
      <c r="K12" s="35"/>
      <c r="L12" s="36"/>
      <c r="M12" s="18"/>
      <c r="N12" s="37" t="s">
        <v>10</v>
      </c>
      <c r="O12" s="38"/>
      <c r="P12" s="38"/>
      <c r="Q12" s="38"/>
      <c r="R12" s="38"/>
      <c r="S12" s="39" t="s">
        <v>11</v>
      </c>
      <c r="T12" s="39"/>
      <c r="U12" s="39"/>
      <c r="V12" s="39"/>
      <c r="W12" s="40"/>
      <c r="Y12" s="3"/>
      <c r="Z12" s="3"/>
      <c r="AA12" s="3"/>
      <c r="AB12" s="3"/>
      <c r="AC12" s="4"/>
    </row>
    <row r="13" spans="2:32" ht="14.25" thickTop="1" thickBot="1" x14ac:dyDescent="0.25">
      <c r="B13" s="28" t="s">
        <v>12</v>
      </c>
      <c r="C13" s="35"/>
      <c r="D13" s="35" t="s">
        <v>13</v>
      </c>
      <c r="E13" s="35"/>
      <c r="F13" s="35"/>
      <c r="G13" s="35"/>
      <c r="H13" s="35"/>
      <c r="I13" s="35"/>
      <c r="J13" s="35"/>
      <c r="K13" s="35"/>
      <c r="L13" s="36"/>
      <c r="M13" s="18"/>
      <c r="N13" s="41" t="s">
        <v>14</v>
      </c>
      <c r="O13" s="42"/>
      <c r="P13" s="42"/>
      <c r="Q13" s="42"/>
      <c r="R13" s="43">
        <v>132340880</v>
      </c>
      <c r="S13" s="44"/>
      <c r="T13" s="44"/>
      <c r="U13" s="44"/>
      <c r="V13" s="44"/>
      <c r="W13" s="45"/>
      <c r="Y13" s="4"/>
      <c r="Z13" s="4"/>
      <c r="AA13" s="4"/>
      <c r="AB13" s="4"/>
      <c r="AC13" s="4"/>
    </row>
    <row r="14" spans="2:32" ht="14.25" thickTop="1" thickBot="1" x14ac:dyDescent="0.25">
      <c r="B14" s="46"/>
      <c r="C14" s="47"/>
      <c r="D14" s="47"/>
      <c r="E14" s="47"/>
      <c r="F14" s="47"/>
      <c r="G14" s="47"/>
      <c r="H14" s="47"/>
      <c r="I14" s="47"/>
      <c r="J14" s="47"/>
      <c r="K14" s="47"/>
      <c r="L14" s="48"/>
      <c r="M14" s="18"/>
      <c r="N14" s="49"/>
      <c r="O14" s="50"/>
      <c r="P14" s="50"/>
      <c r="Q14" s="50"/>
      <c r="R14" s="50"/>
      <c r="S14" s="50"/>
      <c r="T14" s="50"/>
      <c r="U14" s="50"/>
      <c r="V14" s="50"/>
      <c r="W14" s="51"/>
      <c r="Y14" s="4"/>
      <c r="Z14" s="4"/>
      <c r="AA14" s="4"/>
      <c r="AB14" s="4"/>
      <c r="AC14" s="4"/>
    </row>
    <row r="15" spans="2:32" ht="8.25" customHeight="1" thickTop="1" thickBot="1" x14ac:dyDescent="0.25">
      <c r="B15" s="52"/>
      <c r="C15" s="52"/>
      <c r="D15" s="53"/>
      <c r="E15" s="53"/>
      <c r="F15" s="52"/>
      <c r="G15" s="52"/>
      <c r="H15" s="52"/>
      <c r="I15" s="52"/>
      <c r="J15" s="52"/>
      <c r="K15" s="52"/>
      <c r="L15" s="52"/>
      <c r="M15" s="53"/>
      <c r="N15" s="52"/>
      <c r="O15" s="52"/>
      <c r="P15" s="52"/>
      <c r="Q15" s="52"/>
      <c r="R15" s="52"/>
      <c r="S15" s="52"/>
      <c r="T15" s="52"/>
      <c r="U15" s="52"/>
      <c r="V15" s="52"/>
      <c r="W15" s="52"/>
      <c r="Y15" s="4"/>
      <c r="Z15" s="4"/>
      <c r="AA15" s="4"/>
      <c r="AB15" s="4"/>
      <c r="AC15" s="4"/>
      <c r="AF15" s="54"/>
    </row>
    <row r="16" spans="2:32" ht="14.25" thickTop="1" thickBot="1" x14ac:dyDescent="0.25">
      <c r="B16" s="55" t="s">
        <v>15</v>
      </c>
      <c r="C16" s="56" t="s">
        <v>16</v>
      </c>
      <c r="D16" s="57"/>
      <c r="E16" s="57"/>
      <c r="F16" s="57"/>
      <c r="G16" s="57"/>
      <c r="H16" s="57"/>
      <c r="I16" s="57"/>
      <c r="J16" s="57"/>
      <c r="K16" s="57"/>
      <c r="L16" s="57"/>
      <c r="M16" s="58"/>
      <c r="N16" s="59" t="s">
        <v>17</v>
      </c>
      <c r="O16" s="60"/>
      <c r="P16" s="61"/>
      <c r="Q16" s="62" t="s">
        <v>18</v>
      </c>
      <c r="R16" s="59" t="s">
        <v>19</v>
      </c>
      <c r="S16" s="60"/>
      <c r="T16" s="61"/>
      <c r="U16" s="59" t="s">
        <v>20</v>
      </c>
      <c r="V16" s="60"/>
      <c r="W16" s="63"/>
      <c r="Y16" s="4"/>
      <c r="Z16" s="4"/>
      <c r="AA16" s="4"/>
      <c r="AB16" s="4"/>
      <c r="AC16" s="4"/>
    </row>
    <row r="17" spans="2:29" ht="14.25" thickTop="1" thickBot="1" x14ac:dyDescent="0.25">
      <c r="B17" s="64" t="s">
        <v>21</v>
      </c>
      <c r="C17" s="60"/>
      <c r="D17" s="60"/>
      <c r="E17" s="65" t="str">
        <f>[1]BENDRAS!B34</f>
        <v>VP(E)-21-221</v>
      </c>
      <c r="F17" s="35"/>
      <c r="G17" s="35"/>
      <c r="H17" s="35"/>
      <c r="I17" s="35"/>
      <c r="J17" s="35"/>
      <c r="K17" s="35"/>
      <c r="L17" s="35"/>
      <c r="M17" s="52"/>
      <c r="N17" s="66"/>
      <c r="O17" s="66"/>
      <c r="P17" s="66"/>
      <c r="Q17" s="67"/>
      <c r="R17" s="68"/>
      <c r="S17" s="68"/>
      <c r="T17" s="68"/>
      <c r="U17" s="68"/>
      <c r="V17" s="68"/>
      <c r="W17" s="69"/>
      <c r="Y17" s="4"/>
      <c r="Z17" s="4"/>
      <c r="AA17" s="4"/>
      <c r="AB17" s="4"/>
      <c r="AC17" s="4"/>
    </row>
    <row r="18" spans="2:29" ht="50.25" customHeight="1" thickTop="1" x14ac:dyDescent="0.2">
      <c r="B18" s="70">
        <v>1</v>
      </c>
      <c r="C18" s="71" t="str">
        <f>[1]BENDRAS!L2</f>
        <v xml:space="preserve">Už 2024 m. rugsėjo mėn. apvaliosios medienos matavimą ir tūrio bei kokybės įvertinimą grupiniu metodu (Matavimų vieta  UAB Malkų įlankos terminalas) </v>
      </c>
      <c r="D18" s="72"/>
      <c r="E18" s="72"/>
      <c r="F18" s="72"/>
      <c r="G18" s="72"/>
      <c r="H18" s="72"/>
      <c r="I18" s="72"/>
      <c r="J18" s="72"/>
      <c r="K18" s="72"/>
      <c r="L18" s="72"/>
      <c r="M18" s="73"/>
      <c r="N18" s="74" t="s">
        <v>22</v>
      </c>
      <c r="O18" s="75"/>
      <c r="P18" s="76"/>
      <c r="Q18" s="77">
        <f>[1]BENDRAS!M7</f>
        <v>501</v>
      </c>
      <c r="R18" s="78">
        <v>0.28000000000000003</v>
      </c>
      <c r="S18" s="79"/>
      <c r="T18" s="80"/>
      <c r="U18" s="78">
        <f>ROUND(Q18*R18,2)</f>
        <v>140.28</v>
      </c>
      <c r="V18" s="79"/>
      <c r="W18" s="81"/>
      <c r="Y18" s="4"/>
      <c r="Z18" s="3"/>
      <c r="AA18" s="3"/>
      <c r="AB18" s="4"/>
      <c r="AC18" s="4"/>
    </row>
    <row r="19" spans="2:29" ht="15" customHeight="1" x14ac:dyDescent="0.2">
      <c r="B19" s="82"/>
      <c r="C19" s="83"/>
      <c r="D19" s="84"/>
      <c r="E19" s="84"/>
      <c r="F19" s="84"/>
      <c r="G19" s="84"/>
      <c r="H19" s="84"/>
      <c r="I19" s="84"/>
      <c r="J19" s="84"/>
      <c r="K19" s="84"/>
      <c r="L19" s="84"/>
      <c r="M19" s="85"/>
      <c r="N19" s="86"/>
      <c r="O19" s="87"/>
      <c r="P19" s="88"/>
      <c r="Q19" s="89"/>
      <c r="R19" s="90"/>
      <c r="S19" s="91"/>
      <c r="T19" s="92"/>
      <c r="U19" s="90"/>
      <c r="V19" s="91"/>
      <c r="W19" s="93"/>
      <c r="Z19" s="54"/>
      <c r="AA19" s="54"/>
      <c r="AB19" s="54"/>
    </row>
    <row r="20" spans="2:29" ht="15" customHeight="1" x14ac:dyDescent="0.2">
      <c r="B20" s="82"/>
      <c r="C20" s="83"/>
      <c r="D20" s="84"/>
      <c r="E20" s="84"/>
      <c r="F20" s="84"/>
      <c r="G20" s="84"/>
      <c r="H20" s="84"/>
      <c r="I20" s="84"/>
      <c r="J20" s="84"/>
      <c r="K20" s="84"/>
      <c r="L20" s="84"/>
      <c r="M20" s="85"/>
      <c r="N20" s="94"/>
      <c r="O20" s="33"/>
      <c r="P20" s="95"/>
      <c r="Q20" s="89"/>
      <c r="R20" s="96"/>
      <c r="S20" s="97"/>
      <c r="T20" s="98"/>
      <c r="U20" s="90"/>
      <c r="V20" s="91"/>
      <c r="W20" s="93"/>
      <c r="Z20" s="54"/>
      <c r="AA20" s="54"/>
      <c r="AB20" s="54"/>
    </row>
    <row r="21" spans="2:29" ht="15" customHeight="1" x14ac:dyDescent="0.2">
      <c r="B21" s="82"/>
      <c r="C21" s="99"/>
      <c r="D21" s="100"/>
      <c r="E21" s="100"/>
      <c r="F21" s="100"/>
      <c r="G21" s="100"/>
      <c r="H21" s="100"/>
      <c r="I21" s="100"/>
      <c r="J21" s="100"/>
      <c r="K21" s="100"/>
      <c r="L21" s="100"/>
      <c r="M21" s="101"/>
      <c r="N21" s="94"/>
      <c r="O21" s="33"/>
      <c r="P21" s="95"/>
      <c r="Q21" s="89"/>
      <c r="R21" s="96"/>
      <c r="S21" s="97"/>
      <c r="T21" s="98"/>
      <c r="U21" s="96"/>
      <c r="V21" s="97"/>
      <c r="W21" s="102"/>
    </row>
    <row r="22" spans="2:29" ht="15" customHeight="1" x14ac:dyDescent="0.2">
      <c r="B22" s="82"/>
      <c r="C22" s="99"/>
      <c r="D22" s="100"/>
      <c r="E22" s="100"/>
      <c r="F22" s="100"/>
      <c r="G22" s="100"/>
      <c r="H22" s="100"/>
      <c r="I22" s="100"/>
      <c r="J22" s="100"/>
      <c r="K22" s="100"/>
      <c r="L22" s="100"/>
      <c r="M22" s="101"/>
      <c r="N22" s="94"/>
      <c r="O22" s="33"/>
      <c r="P22" s="95"/>
      <c r="Q22" s="89"/>
      <c r="R22" s="96"/>
      <c r="S22" s="97"/>
      <c r="T22" s="98"/>
      <c r="U22" s="96"/>
      <c r="V22" s="97"/>
      <c r="W22" s="102"/>
    </row>
    <row r="23" spans="2:29" ht="15" customHeight="1" x14ac:dyDescent="0.2">
      <c r="B23" s="82"/>
      <c r="C23" s="94"/>
      <c r="D23" s="33"/>
      <c r="E23" s="33"/>
      <c r="F23" s="33"/>
      <c r="G23" s="33"/>
      <c r="H23" s="33"/>
      <c r="I23" s="33"/>
      <c r="J23" s="33"/>
      <c r="K23" s="33"/>
      <c r="L23" s="33"/>
      <c r="M23" s="95"/>
      <c r="N23" s="94"/>
      <c r="O23" s="33"/>
      <c r="P23" s="95"/>
      <c r="Q23" s="103"/>
      <c r="R23" s="96"/>
      <c r="S23" s="97"/>
      <c r="T23" s="98"/>
      <c r="U23" s="96"/>
      <c r="V23" s="97"/>
      <c r="W23" s="102"/>
    </row>
    <row r="24" spans="2:29" ht="15" customHeight="1" x14ac:dyDescent="0.2">
      <c r="B24" s="82"/>
      <c r="C24" s="94"/>
      <c r="D24" s="33"/>
      <c r="E24" s="33"/>
      <c r="F24" s="33"/>
      <c r="G24" s="33"/>
      <c r="H24" s="33"/>
      <c r="I24" s="33"/>
      <c r="J24" s="33"/>
      <c r="K24" s="33"/>
      <c r="L24" s="33"/>
      <c r="M24" s="95"/>
      <c r="N24" s="94"/>
      <c r="O24" s="33"/>
      <c r="P24" s="95"/>
      <c r="Q24" s="103"/>
      <c r="R24" s="96"/>
      <c r="S24" s="97"/>
      <c r="T24" s="98"/>
      <c r="U24" s="96"/>
      <c r="V24" s="97"/>
      <c r="W24" s="102"/>
    </row>
    <row r="25" spans="2:29" ht="15" customHeight="1" x14ac:dyDescent="0.2">
      <c r="B25" s="82"/>
      <c r="C25" s="94"/>
      <c r="D25" s="33"/>
      <c r="E25" s="33"/>
      <c r="F25" s="33"/>
      <c r="G25" s="33"/>
      <c r="H25" s="33"/>
      <c r="I25" s="33"/>
      <c r="J25" s="33"/>
      <c r="K25" s="33"/>
      <c r="L25" s="33"/>
      <c r="M25" s="95"/>
      <c r="N25" s="94"/>
      <c r="O25" s="33"/>
      <c r="P25" s="95"/>
      <c r="Q25" s="103"/>
      <c r="R25" s="96"/>
      <c r="S25" s="97"/>
      <c r="T25" s="98"/>
      <c r="U25" s="96"/>
      <c r="V25" s="97"/>
      <c r="W25" s="102"/>
    </row>
    <row r="26" spans="2:29" ht="15" customHeight="1" x14ac:dyDescent="0.2">
      <c r="B26" s="82"/>
      <c r="C26" s="94"/>
      <c r="D26" s="33"/>
      <c r="E26" s="33"/>
      <c r="F26" s="33"/>
      <c r="G26" s="33"/>
      <c r="H26" s="33"/>
      <c r="I26" s="33"/>
      <c r="J26" s="33"/>
      <c r="K26" s="33"/>
      <c r="L26" s="33"/>
      <c r="M26" s="95"/>
      <c r="N26" s="94"/>
      <c r="O26" s="33"/>
      <c r="P26" s="95"/>
      <c r="Q26" s="103"/>
      <c r="R26" s="96"/>
      <c r="S26" s="97"/>
      <c r="T26" s="98"/>
      <c r="U26" s="96"/>
      <c r="V26" s="97"/>
      <c r="W26" s="102"/>
    </row>
    <row r="27" spans="2:29" ht="15" customHeight="1" x14ac:dyDescent="0.2">
      <c r="B27" s="82"/>
      <c r="C27" s="94"/>
      <c r="D27" s="33"/>
      <c r="E27" s="33"/>
      <c r="F27" s="33"/>
      <c r="G27" s="33"/>
      <c r="H27" s="33"/>
      <c r="I27" s="33"/>
      <c r="J27" s="33"/>
      <c r="K27" s="33"/>
      <c r="L27" s="33"/>
      <c r="M27" s="95"/>
      <c r="N27" s="94"/>
      <c r="O27" s="33"/>
      <c r="P27" s="95"/>
      <c r="Q27" s="103"/>
      <c r="R27" s="96"/>
      <c r="S27" s="97"/>
      <c r="T27" s="98"/>
      <c r="U27" s="96"/>
      <c r="V27" s="97"/>
      <c r="W27" s="102"/>
    </row>
    <row r="28" spans="2:29" ht="15" customHeight="1" x14ac:dyDescent="0.2">
      <c r="B28" s="82"/>
      <c r="C28" s="94"/>
      <c r="D28" s="33"/>
      <c r="E28" s="33"/>
      <c r="F28" s="33"/>
      <c r="G28" s="33"/>
      <c r="H28" s="33"/>
      <c r="I28" s="33"/>
      <c r="J28" s="33"/>
      <c r="K28" s="33"/>
      <c r="L28" s="33"/>
      <c r="M28" s="95"/>
      <c r="N28" s="94"/>
      <c r="O28" s="33"/>
      <c r="P28" s="95"/>
      <c r="Q28" s="103"/>
      <c r="R28" s="96"/>
      <c r="S28" s="97"/>
      <c r="T28" s="98"/>
      <c r="U28" s="96"/>
      <c r="V28" s="97"/>
      <c r="W28" s="102"/>
      <c r="Z28" s="104"/>
    </row>
    <row r="29" spans="2:29" ht="15" customHeight="1" x14ac:dyDescent="0.2">
      <c r="B29" s="82"/>
      <c r="C29" s="94"/>
      <c r="D29" s="33"/>
      <c r="E29" s="33"/>
      <c r="F29" s="33"/>
      <c r="G29" s="33"/>
      <c r="H29" s="33"/>
      <c r="I29" s="33"/>
      <c r="J29" s="33"/>
      <c r="K29" s="33"/>
      <c r="L29" s="33"/>
      <c r="M29" s="95"/>
      <c r="N29" s="94"/>
      <c r="O29" s="33"/>
      <c r="P29" s="95"/>
      <c r="Q29" s="103"/>
      <c r="R29" s="96"/>
      <c r="S29" s="97"/>
      <c r="T29" s="98"/>
      <c r="U29" s="96"/>
      <c r="V29" s="97"/>
      <c r="W29" s="102"/>
    </row>
    <row r="30" spans="2:29" ht="15" customHeight="1" x14ac:dyDescent="0.2">
      <c r="B30" s="82"/>
      <c r="C30" s="94"/>
      <c r="D30" s="33"/>
      <c r="E30" s="33"/>
      <c r="F30" s="33"/>
      <c r="G30" s="33"/>
      <c r="H30" s="33"/>
      <c r="I30" s="33"/>
      <c r="J30" s="33"/>
      <c r="K30" s="33"/>
      <c r="L30" s="33"/>
      <c r="M30" s="95"/>
      <c r="N30" s="94"/>
      <c r="O30" s="33"/>
      <c r="P30" s="95"/>
      <c r="Q30" s="103"/>
      <c r="R30" s="96"/>
      <c r="S30" s="97"/>
      <c r="T30" s="98"/>
      <c r="U30" s="96"/>
      <c r="V30" s="97"/>
      <c r="W30" s="102"/>
    </row>
    <row r="31" spans="2:29" ht="15" customHeight="1" x14ac:dyDescent="0.2">
      <c r="B31" s="82"/>
      <c r="C31" s="94"/>
      <c r="D31" s="33"/>
      <c r="E31" s="33"/>
      <c r="F31" s="33"/>
      <c r="G31" s="33"/>
      <c r="H31" s="33"/>
      <c r="I31" s="33"/>
      <c r="J31" s="33"/>
      <c r="K31" s="33"/>
      <c r="L31" s="33"/>
      <c r="M31" s="95"/>
      <c r="N31" s="94"/>
      <c r="O31" s="33"/>
      <c r="P31" s="95"/>
      <c r="Q31" s="103"/>
      <c r="R31" s="96"/>
      <c r="S31" s="97"/>
      <c r="T31" s="98"/>
      <c r="U31" s="96"/>
      <c r="V31" s="97"/>
      <c r="W31" s="102"/>
    </row>
    <row r="32" spans="2:29" ht="15" customHeight="1" x14ac:dyDescent="0.2">
      <c r="B32" s="82"/>
      <c r="C32" s="94"/>
      <c r="D32" s="33"/>
      <c r="E32" s="33"/>
      <c r="F32" s="33"/>
      <c r="G32" s="33"/>
      <c r="H32" s="33"/>
      <c r="I32" s="33"/>
      <c r="J32" s="33"/>
      <c r="K32" s="33"/>
      <c r="L32" s="33"/>
      <c r="M32" s="95"/>
      <c r="N32" s="94"/>
      <c r="O32" s="33"/>
      <c r="P32" s="95"/>
      <c r="Q32" s="103"/>
      <c r="R32" s="96"/>
      <c r="S32" s="97"/>
      <c r="T32" s="98"/>
      <c r="U32" s="96"/>
      <c r="V32" s="97"/>
      <c r="W32" s="102"/>
    </row>
    <row r="33" spans="2:25" ht="15" customHeight="1" x14ac:dyDescent="0.2">
      <c r="B33" s="82"/>
      <c r="C33" s="94"/>
      <c r="D33" s="33"/>
      <c r="E33" s="33"/>
      <c r="F33" s="33"/>
      <c r="G33" s="33"/>
      <c r="H33" s="33"/>
      <c r="I33" s="33"/>
      <c r="J33" s="33"/>
      <c r="K33" s="33"/>
      <c r="L33" s="33"/>
      <c r="M33" s="95"/>
      <c r="N33" s="94"/>
      <c r="O33" s="33"/>
      <c r="P33" s="95"/>
      <c r="Q33" s="103"/>
      <c r="R33" s="96"/>
      <c r="S33" s="97"/>
      <c r="T33" s="98"/>
      <c r="U33" s="96"/>
      <c r="V33" s="97"/>
      <c r="W33" s="102"/>
    </row>
    <row r="34" spans="2:25" ht="15" customHeight="1" x14ac:dyDescent="0.2">
      <c r="B34" s="82"/>
      <c r="C34" s="94"/>
      <c r="D34" s="33"/>
      <c r="E34" s="33"/>
      <c r="F34" s="33"/>
      <c r="G34" s="33"/>
      <c r="H34" s="33"/>
      <c r="I34" s="33"/>
      <c r="J34" s="33"/>
      <c r="K34" s="33"/>
      <c r="L34" s="33"/>
      <c r="M34" s="95"/>
      <c r="N34" s="94"/>
      <c r="O34" s="33"/>
      <c r="P34" s="95"/>
      <c r="Q34" s="103"/>
      <c r="R34" s="96"/>
      <c r="S34" s="97"/>
      <c r="T34" s="98"/>
      <c r="U34" s="96"/>
      <c r="V34" s="97"/>
      <c r="W34" s="102"/>
    </row>
    <row r="35" spans="2:25" ht="15" customHeight="1" x14ac:dyDescent="0.2">
      <c r="B35" s="82"/>
      <c r="C35" s="94"/>
      <c r="D35" s="33"/>
      <c r="E35" s="33"/>
      <c r="F35" s="33"/>
      <c r="G35" s="33"/>
      <c r="H35" s="33"/>
      <c r="I35" s="33"/>
      <c r="J35" s="33"/>
      <c r="K35" s="33"/>
      <c r="L35" s="33"/>
      <c r="M35" s="95"/>
      <c r="N35" s="94"/>
      <c r="O35" s="33"/>
      <c r="P35" s="95"/>
      <c r="Q35" s="103"/>
      <c r="R35" s="96"/>
      <c r="S35" s="97"/>
      <c r="T35" s="98"/>
      <c r="U35" s="96"/>
      <c r="V35" s="97"/>
      <c r="W35" s="102"/>
    </row>
    <row r="36" spans="2:25" ht="15" customHeight="1" x14ac:dyDescent="0.2">
      <c r="B36" s="82"/>
      <c r="C36" s="94"/>
      <c r="D36" s="33"/>
      <c r="E36" s="33"/>
      <c r="F36" s="33"/>
      <c r="G36" s="33"/>
      <c r="H36" s="33"/>
      <c r="I36" s="33"/>
      <c r="J36" s="33"/>
      <c r="K36" s="33"/>
      <c r="L36" s="33"/>
      <c r="M36" s="95"/>
      <c r="N36" s="94"/>
      <c r="O36" s="33"/>
      <c r="P36" s="95"/>
      <c r="Q36" s="103"/>
      <c r="R36" s="96"/>
      <c r="S36" s="97"/>
      <c r="T36" s="98"/>
      <c r="U36" s="96"/>
      <c r="V36" s="97"/>
      <c r="W36" s="102"/>
    </row>
    <row r="37" spans="2:25" ht="15" customHeight="1" x14ac:dyDescent="0.2">
      <c r="B37" s="82"/>
      <c r="C37" s="94"/>
      <c r="D37" s="33"/>
      <c r="E37" s="33"/>
      <c r="F37" s="33"/>
      <c r="G37" s="33"/>
      <c r="H37" s="33"/>
      <c r="I37" s="33"/>
      <c r="J37" s="33"/>
      <c r="K37" s="33"/>
      <c r="L37" s="33"/>
      <c r="M37" s="95"/>
      <c r="N37" s="94"/>
      <c r="O37" s="33"/>
      <c r="P37" s="95"/>
      <c r="Q37" s="105"/>
      <c r="R37" s="96"/>
      <c r="S37" s="97"/>
      <c r="T37" s="98"/>
      <c r="U37" s="96"/>
      <c r="V37" s="97"/>
      <c r="W37" s="102"/>
    </row>
    <row r="38" spans="2:25" ht="15" customHeight="1" thickBot="1" x14ac:dyDescent="0.25">
      <c r="B38" s="82"/>
      <c r="C38" s="106"/>
      <c r="D38" s="107"/>
      <c r="E38" s="107"/>
      <c r="F38" s="107"/>
      <c r="G38" s="107"/>
      <c r="H38" s="107"/>
      <c r="I38" s="107"/>
      <c r="J38" s="107"/>
      <c r="K38" s="107"/>
      <c r="L38" s="107"/>
      <c r="M38" s="108"/>
      <c r="N38" s="106"/>
      <c r="O38" s="107"/>
      <c r="P38" s="108"/>
      <c r="Q38" s="109"/>
      <c r="R38" s="96"/>
      <c r="S38" s="97"/>
      <c r="T38" s="98"/>
      <c r="U38" s="96"/>
      <c r="V38" s="97"/>
      <c r="W38" s="102"/>
    </row>
    <row r="39" spans="2:25" ht="14.25" thickTop="1" thickBot="1" x14ac:dyDescent="0.25">
      <c r="B39" s="110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2" t="s">
        <v>23</v>
      </c>
      <c r="S39" s="113"/>
      <c r="T39" s="114"/>
      <c r="U39" s="115">
        <f>ROUND(SUM(U18:W38),2)</f>
        <v>140.28</v>
      </c>
      <c r="V39" s="116"/>
      <c r="W39" s="117"/>
    </row>
    <row r="40" spans="2:25" ht="13.5" customHeight="1" thickTop="1" x14ac:dyDescent="0.2">
      <c r="B40" s="118" t="s">
        <v>24</v>
      </c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20"/>
      <c r="R40" s="121"/>
      <c r="S40" s="122"/>
      <c r="T40" s="123"/>
      <c r="U40" s="90"/>
      <c r="V40" s="91"/>
      <c r="W40" s="93"/>
    </row>
    <row r="41" spans="2:25" x14ac:dyDescent="0.2">
      <c r="B41" s="124"/>
      <c r="C41" s="125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6"/>
      <c r="R41" s="127" t="s">
        <v>25</v>
      </c>
      <c r="S41" s="128"/>
      <c r="T41" s="129"/>
      <c r="U41" s="96">
        <f>ROUND(U39*21%,2)</f>
        <v>29.46</v>
      </c>
      <c r="V41" s="97"/>
      <c r="W41" s="102"/>
    </row>
    <row r="42" spans="2:25" ht="13.5" customHeight="1" thickBot="1" x14ac:dyDescent="0.25">
      <c r="B42" s="130" t="s">
        <v>26</v>
      </c>
      <c r="C42" s="131"/>
      <c r="D42" s="131"/>
      <c r="E42" s="131"/>
      <c r="F42" s="131"/>
      <c r="G42" s="132" t="s">
        <v>27</v>
      </c>
      <c r="H42" s="132"/>
      <c r="I42" s="132"/>
      <c r="J42" s="132"/>
      <c r="K42" s="132"/>
      <c r="L42" s="132"/>
      <c r="M42" s="132"/>
      <c r="N42" s="132"/>
      <c r="O42" s="132"/>
      <c r="P42" s="132"/>
      <c r="Q42" s="133"/>
      <c r="R42" s="127"/>
      <c r="S42" s="128"/>
      <c r="T42" s="129"/>
      <c r="U42" s="106"/>
      <c r="V42" s="107"/>
      <c r="W42" s="134"/>
      <c r="Y42" s="4"/>
    </row>
    <row r="43" spans="2:25" ht="14.25" thickTop="1" thickBot="1" x14ac:dyDescent="0.25">
      <c r="B43" s="135" t="s">
        <v>28</v>
      </c>
      <c r="C43" s="136"/>
      <c r="D43" s="136"/>
      <c r="E43" s="136"/>
      <c r="F43" s="136"/>
      <c r="G43" s="137" t="str">
        <f>[1]BENDRAS!Q7</f>
        <v xml:space="preserve">Biržų regioninis padalinys 52 </v>
      </c>
      <c r="H43" s="137"/>
      <c r="I43" s="137"/>
      <c r="J43" s="137"/>
      <c r="K43" s="137"/>
      <c r="L43" s="137"/>
      <c r="M43" s="137"/>
      <c r="N43" s="137"/>
      <c r="O43" s="137"/>
      <c r="P43" s="137"/>
      <c r="Q43" s="138"/>
      <c r="R43" s="139" t="s">
        <v>29</v>
      </c>
      <c r="S43" s="140"/>
      <c r="T43" s="141"/>
      <c r="U43" s="142">
        <f>ROUND(U39+U41,2)</f>
        <v>169.74</v>
      </c>
      <c r="V43" s="143"/>
      <c r="W43" s="144"/>
    </row>
    <row r="44" spans="2:25" ht="13.5" thickTop="1" x14ac:dyDescent="0.2">
      <c r="B44" s="135" t="s">
        <v>30</v>
      </c>
      <c r="C44" s="136"/>
      <c r="D44" s="136"/>
      <c r="E44" s="136"/>
      <c r="F44" s="136"/>
      <c r="G44" s="137">
        <f>[1]BENDRAS!B35</f>
        <v>45565</v>
      </c>
      <c r="H44" s="137"/>
      <c r="I44" s="137"/>
      <c r="J44" s="137"/>
      <c r="K44" s="137"/>
      <c r="L44" s="137"/>
      <c r="M44" s="137"/>
      <c r="N44" s="137"/>
      <c r="O44" s="137"/>
      <c r="P44" s="137"/>
      <c r="Q44" s="138"/>
      <c r="R44" s="145"/>
      <c r="S44" s="145"/>
      <c r="T44" s="145"/>
      <c r="U44" s="146"/>
      <c r="V44" s="146"/>
      <c r="W44" s="147"/>
    </row>
    <row r="45" spans="2:25" ht="13.5" thickBot="1" x14ac:dyDescent="0.25">
      <c r="B45" s="148" t="str">
        <f>[2]!SumEUR(U43)</f>
        <v>Vienas šimtas šešiasdešimt devyni eurai  74 ct</v>
      </c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50"/>
    </row>
    <row r="46" spans="2:25" ht="13.5" thickTop="1" x14ac:dyDescent="0.2">
      <c r="B46" s="151" t="s">
        <v>31</v>
      </c>
      <c r="C46" s="152"/>
      <c r="D46" s="152"/>
      <c r="E46" s="152"/>
      <c r="F46" s="152"/>
      <c r="G46" s="152"/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2"/>
      <c r="W46" s="153"/>
    </row>
    <row r="47" spans="2:25" x14ac:dyDescent="0.2">
      <c r="B47" s="154" t="s">
        <v>32</v>
      </c>
      <c r="C47" s="155"/>
      <c r="D47" s="155"/>
      <c r="E47" s="155"/>
      <c r="F47" s="155"/>
      <c r="G47" s="155"/>
      <c r="H47" s="155"/>
      <c r="I47" s="155"/>
      <c r="J47" s="155"/>
      <c r="K47" s="155"/>
      <c r="L47" s="155"/>
      <c r="M47" s="155"/>
      <c r="N47" s="155"/>
      <c r="O47" s="155"/>
      <c r="P47" s="155"/>
      <c r="Q47" s="155"/>
      <c r="R47" s="155"/>
      <c r="S47" s="155"/>
      <c r="T47" s="155"/>
      <c r="U47" s="155"/>
      <c r="V47" s="155"/>
      <c r="W47" s="156"/>
    </row>
    <row r="48" spans="2:25" ht="3.75" customHeight="1" thickBot="1" x14ac:dyDescent="0.25">
      <c r="B48" s="157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9"/>
    </row>
    <row r="49" spans="4:9" ht="13.5" thickTop="1" x14ac:dyDescent="0.2">
      <c r="D49" s="160"/>
      <c r="E49" s="161"/>
      <c r="F49" s="162"/>
      <c r="G49" s="161"/>
      <c r="H49" s="161"/>
      <c r="I49" s="161"/>
    </row>
  </sheetData>
  <mergeCells count="127">
    <mergeCell ref="B47:W47"/>
    <mergeCell ref="B48:W48"/>
    <mergeCell ref="B44:F44"/>
    <mergeCell ref="G44:Q44"/>
    <mergeCell ref="R44:T44"/>
    <mergeCell ref="U44:W44"/>
    <mergeCell ref="B45:W45"/>
    <mergeCell ref="B46:W46"/>
    <mergeCell ref="B42:F42"/>
    <mergeCell ref="G42:Q42"/>
    <mergeCell ref="R42:T42"/>
    <mergeCell ref="U42:W42"/>
    <mergeCell ref="B43:F43"/>
    <mergeCell ref="G43:Q43"/>
    <mergeCell ref="R43:T43"/>
    <mergeCell ref="U43:W43"/>
    <mergeCell ref="C38:M38"/>
    <mergeCell ref="N38:P38"/>
    <mergeCell ref="R38:T38"/>
    <mergeCell ref="U38:W38"/>
    <mergeCell ref="R39:T40"/>
    <mergeCell ref="U39:W40"/>
    <mergeCell ref="B40:Q41"/>
    <mergeCell ref="R41:T41"/>
    <mergeCell ref="U41:W41"/>
    <mergeCell ref="C36:M36"/>
    <mergeCell ref="N36:P36"/>
    <mergeCell ref="R36:T36"/>
    <mergeCell ref="U36:W36"/>
    <mergeCell ref="C37:M37"/>
    <mergeCell ref="N37:P37"/>
    <mergeCell ref="R37:T37"/>
    <mergeCell ref="U37:W37"/>
    <mergeCell ref="C34:M34"/>
    <mergeCell ref="N34:P34"/>
    <mergeCell ref="R34:T34"/>
    <mergeCell ref="U34:W34"/>
    <mergeCell ref="C35:M35"/>
    <mergeCell ref="N35:P35"/>
    <mergeCell ref="R35:T35"/>
    <mergeCell ref="U35:W35"/>
    <mergeCell ref="C32:M32"/>
    <mergeCell ref="N32:P32"/>
    <mergeCell ref="R32:T32"/>
    <mergeCell ref="U32:W32"/>
    <mergeCell ref="C33:M33"/>
    <mergeCell ref="N33:P33"/>
    <mergeCell ref="R33:T33"/>
    <mergeCell ref="U33:W33"/>
    <mergeCell ref="C30:M30"/>
    <mergeCell ref="N30:P30"/>
    <mergeCell ref="R30:T30"/>
    <mergeCell ref="U30:W30"/>
    <mergeCell ref="C31:M31"/>
    <mergeCell ref="N31:P31"/>
    <mergeCell ref="R31:T31"/>
    <mergeCell ref="U31:W31"/>
    <mergeCell ref="C28:M28"/>
    <mergeCell ref="N28:P28"/>
    <mergeCell ref="R28:T28"/>
    <mergeCell ref="U28:W28"/>
    <mergeCell ref="C29:M29"/>
    <mergeCell ref="N29:P29"/>
    <mergeCell ref="R29:T29"/>
    <mergeCell ref="U29:W29"/>
    <mergeCell ref="C26:M26"/>
    <mergeCell ref="N26:P26"/>
    <mergeCell ref="R26:T26"/>
    <mergeCell ref="U26:W26"/>
    <mergeCell ref="C27:M27"/>
    <mergeCell ref="N27:P27"/>
    <mergeCell ref="R27:T27"/>
    <mergeCell ref="U27:W27"/>
    <mergeCell ref="C24:M24"/>
    <mergeCell ref="N24:P24"/>
    <mergeCell ref="R24:T24"/>
    <mergeCell ref="U24:W24"/>
    <mergeCell ref="C25:M25"/>
    <mergeCell ref="N25:P25"/>
    <mergeCell ref="R25:T25"/>
    <mergeCell ref="U25:W25"/>
    <mergeCell ref="C22:M22"/>
    <mergeCell ref="N22:P22"/>
    <mergeCell ref="R22:T22"/>
    <mergeCell ref="U22:W22"/>
    <mergeCell ref="C23:M23"/>
    <mergeCell ref="N23:P23"/>
    <mergeCell ref="R23:T23"/>
    <mergeCell ref="U23:W23"/>
    <mergeCell ref="C20:M20"/>
    <mergeCell ref="N20:P20"/>
    <mergeCell ref="R20:T20"/>
    <mergeCell ref="U20:W20"/>
    <mergeCell ref="C21:M21"/>
    <mergeCell ref="N21:P21"/>
    <mergeCell ref="R21:T21"/>
    <mergeCell ref="U21:W21"/>
    <mergeCell ref="C18:M18"/>
    <mergeCell ref="N18:P18"/>
    <mergeCell ref="R18:T18"/>
    <mergeCell ref="U18:W18"/>
    <mergeCell ref="C19:M19"/>
    <mergeCell ref="N19:P19"/>
    <mergeCell ref="R19:T19"/>
    <mergeCell ref="U19:W19"/>
    <mergeCell ref="B14:L14"/>
    <mergeCell ref="N14:W14"/>
    <mergeCell ref="N16:P16"/>
    <mergeCell ref="R16:T16"/>
    <mergeCell ref="U16:W16"/>
    <mergeCell ref="B17:D17"/>
    <mergeCell ref="N17:P17"/>
    <mergeCell ref="R17:T17"/>
    <mergeCell ref="U17:W17"/>
    <mergeCell ref="B9:L10"/>
    <mergeCell ref="N9:W10"/>
    <mergeCell ref="E11:L11"/>
    <mergeCell ref="N11:W11"/>
    <mergeCell ref="S12:W12"/>
    <mergeCell ref="R13:W13"/>
    <mergeCell ref="B1:W2"/>
    <mergeCell ref="J4:K4"/>
    <mergeCell ref="L4:P4"/>
    <mergeCell ref="B5:W5"/>
    <mergeCell ref="B7:W7"/>
    <mergeCell ref="B8:L8"/>
    <mergeCell ref="N8:W8"/>
  </mergeCells>
  <pageMargins left="0.25" right="0.25" top="0.75" bottom="0.75" header="0.3" footer="0.3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Darbalapiai</vt:lpstr>
      </vt:variant>
      <vt:variant>
        <vt:i4>1</vt:i4>
      </vt:variant>
      <vt:variant>
        <vt:lpstr>Įvardinti diapazonai</vt:lpstr>
      </vt:variant>
      <vt:variant>
        <vt:i4>1</vt:i4>
      </vt:variant>
    </vt:vector>
  </HeadingPairs>
  <TitlesOfParts>
    <vt:vector size="2" baseType="lpstr">
      <vt:lpstr>Birzu_M</vt:lpstr>
      <vt:lpstr>Birzu_M!Print_Area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boxertt@gmail.com</dc:creator>
  <cp:lastModifiedBy>boxertt@gmail.com</cp:lastModifiedBy>
  <dcterms:created xsi:type="dcterms:W3CDTF">2024-09-23T18:14:24Z</dcterms:created>
  <dcterms:modified xsi:type="dcterms:W3CDTF">2024-09-23T18:14:24Z</dcterms:modified>
</cp:coreProperties>
</file>